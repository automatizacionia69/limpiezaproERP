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varo\Desktop\distribuidora-limpiezapro\"/>
    </mc:Choice>
  </mc:AlternateContent>
  <xr:revisionPtr revIDLastSave="0" documentId="8_{76FD42D9-FF48-4585-98B5-217340C5B95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nventario General" sheetId="1" r:id="rId1"/>
    <sheet name="Resumen por Zon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2" l="1"/>
  <c r="B5" i="2"/>
  <c r="C4" i="2"/>
  <c r="B4" i="2"/>
  <c r="C3" i="2"/>
  <c r="B3" i="2"/>
  <c r="C2" i="2"/>
  <c r="C6" i="2" s="1"/>
  <c r="B2" i="2"/>
  <c r="B6" i="2" s="1"/>
</calcChain>
</file>

<file path=xl/sharedStrings.xml><?xml version="1.0" encoding="utf-8"?>
<sst xmlns="http://schemas.openxmlformats.org/spreadsheetml/2006/main" count="503" uniqueCount="225">
  <si>
    <t>Zona / Ambiente</t>
  </si>
  <si>
    <t>Producto</t>
  </si>
  <si>
    <t>Código</t>
  </si>
  <si>
    <t>Cantidad</t>
  </si>
  <si>
    <t>Unidad / Presentación</t>
  </si>
  <si>
    <t>Observación (verificar)</t>
  </si>
  <si>
    <t>Sala Comedor</t>
  </si>
  <si>
    <t>Papel Higiénico Súper 500ml x4</t>
  </si>
  <si>
    <t>004/023323</t>
  </si>
  <si>
    <t>und</t>
  </si>
  <si>
    <t>Papel Higiénico Clásico x2</t>
  </si>
  <si>
    <t>22134</t>
  </si>
  <si>
    <t>Verificar cantidad (letra poco clara)</t>
  </si>
  <si>
    <t>013554</t>
  </si>
  <si>
    <t>Verificar código/cantidad</t>
  </si>
  <si>
    <t>361660</t>
  </si>
  <si>
    <t>cajas (12 und)</t>
  </si>
  <si>
    <t>Servilleta Cortada x1000 und</t>
  </si>
  <si>
    <t>361614</t>
  </si>
  <si>
    <t>cajas (1 und)</t>
  </si>
  <si>
    <t>Servilleta Élite Doblada en 4 Plus</t>
  </si>
  <si>
    <t>360936</t>
  </si>
  <si>
    <t>paq</t>
  </si>
  <si>
    <t>Papel Higiénico Élite 500ml x4 Excellence</t>
  </si>
  <si>
    <t>361377</t>
  </si>
  <si>
    <t>Servilletero Súper 100ml x2</t>
  </si>
  <si>
    <t>23619</t>
  </si>
  <si>
    <t>Verificar cantidad</t>
  </si>
  <si>
    <t>Papel Higiénico Élite 500ml x2</t>
  </si>
  <si>
    <t>36707</t>
  </si>
  <si>
    <t>Papel Toalla Clásico 200ml x2</t>
  </si>
  <si>
    <t>36791</t>
  </si>
  <si>
    <t>Papel Toalla Súper Ecológico 200ml x2</t>
  </si>
  <si>
    <t>215583</t>
  </si>
  <si>
    <t>Papel Toalla Élite Plus x2</t>
  </si>
  <si>
    <t>361043</t>
  </si>
  <si>
    <t>Nota original: '95 pag - 4pts+4'</t>
  </si>
  <si>
    <t>Servilleta Clásico Élite 18x300</t>
  </si>
  <si>
    <t>360425</t>
  </si>
  <si>
    <t>planchas</t>
  </si>
  <si>
    <t>Papel Higiénico Súper 550ml x2</t>
  </si>
  <si>
    <t>23592</t>
  </si>
  <si>
    <t>Papel Higiénico Élite 300ml x2</t>
  </si>
  <si>
    <t>361683</t>
  </si>
  <si>
    <t>Centímetro (rollo) 20 rollos</t>
  </si>
  <si>
    <t>cajas</t>
  </si>
  <si>
    <t>Verificar nombre de producto</t>
  </si>
  <si>
    <t>Papel Toalla Súper 300ml x4 rollos</t>
  </si>
  <si>
    <t>22001</t>
  </si>
  <si>
    <t>Servilleta Élite Doblada en 4 - 33x33 (24 und)</t>
  </si>
  <si>
    <t>36005</t>
  </si>
  <si>
    <t>cajas (24 und c/u)</t>
  </si>
  <si>
    <t>Papel Toalla Torx x2 rollos/120ml</t>
  </si>
  <si>
    <t>23748</t>
  </si>
  <si>
    <t>Papel Higiénico Torx 200ml x2</t>
  </si>
  <si>
    <t>9161</t>
  </si>
  <si>
    <t>Jabón Torx Espuma Antibacterial x1000ml</t>
  </si>
  <si>
    <t>30341</t>
  </si>
  <si>
    <t>Jabón Torx Espuma x1000 und</t>
  </si>
  <si>
    <t>30330</t>
  </si>
  <si>
    <t>Servilleta Gourmet x12 und</t>
  </si>
  <si>
    <t>36133</t>
  </si>
  <si>
    <t>Servilletero Élite 200ml</t>
  </si>
  <si>
    <t>36761</t>
  </si>
  <si>
    <t>Bolsa Rollo 5x10</t>
  </si>
  <si>
    <t>rollos</t>
  </si>
  <si>
    <t>Bolsa Rollo 7x10</t>
  </si>
  <si>
    <t>Bolsa Rollo 8x12</t>
  </si>
  <si>
    <t>Bolsa Rollo 10x15</t>
  </si>
  <si>
    <t>Bolsa Rollo 12x17</t>
  </si>
  <si>
    <t>rollos (12x1)</t>
  </si>
  <si>
    <t>Desengrasante Dabiza 3.8 (galón)</t>
  </si>
  <si>
    <t>Jabón Súper 5LT</t>
  </si>
  <si>
    <t>Panosina 24LT y 6 rollo</t>
  </si>
  <si>
    <t>Verificar descripción</t>
  </si>
  <si>
    <t>Detergente CPA 4LT</t>
  </si>
  <si>
    <t>bolsas</t>
  </si>
  <si>
    <t>Alcohol 70°</t>
  </si>
  <si>
    <t>Limpiavidrios Maya 3.8</t>
  </si>
  <si>
    <t>Jabón Fasca Maya 3.8</t>
  </si>
  <si>
    <t>Servilleta Plus 33x33</t>
  </si>
  <si>
    <t>361699</t>
  </si>
  <si>
    <t>Cochera</t>
  </si>
  <si>
    <t>Balde + Mopa + Palo (kit)</t>
  </si>
  <si>
    <t>kit</t>
  </si>
  <si>
    <t>Bolsas 240L 4pza x100 Unitex</t>
  </si>
  <si>
    <t>Lavavajilla 3.8LT Unitex</t>
  </si>
  <si>
    <t>Código anotado como 'GN.56', verificar</t>
  </si>
  <si>
    <t>Sacagrasa 3.8LT Unitex</t>
  </si>
  <si>
    <t>Código anotado '61N.39', verificar</t>
  </si>
  <si>
    <t>Limpiador Bambú 3.8LT Unitex</t>
  </si>
  <si>
    <t>Código anotado '61N.25', verificar</t>
  </si>
  <si>
    <t>Limpiador BaBa 3.8LT Unitex</t>
  </si>
  <si>
    <t>Código anotado '61N.37', verificar</t>
  </si>
  <si>
    <t>Limpiador Lavanda 3.8LT Unitex</t>
  </si>
  <si>
    <t>Código anotado 'GN', verificar</t>
  </si>
  <si>
    <t>Pastillas Baño Lavanda x2 Unitex</t>
  </si>
  <si>
    <t>Limpiador Pinesol 1.8LT Unitex</t>
  </si>
  <si>
    <t>Limpiador Lavanda 1.8LT Unitex</t>
  </si>
  <si>
    <t>Paño Absorbente x20 Unitex</t>
  </si>
  <si>
    <t>Mopa #16 y Palo Unitex</t>
  </si>
  <si>
    <t>kit (mopa+palo)</t>
  </si>
  <si>
    <t>Guante Baño Lavandería 'L'</t>
  </si>
  <si>
    <t>Guante Baño Lavandería 'M'</t>
  </si>
  <si>
    <t>Recogedor Metal-Plástico Unitex</t>
  </si>
  <si>
    <t>Recogedor Económico Unitex</t>
  </si>
  <si>
    <t>Recogedor Palo Reforzado Unitex</t>
  </si>
  <si>
    <t>Recogedor Desyerba</t>
  </si>
  <si>
    <t>Verificar nombre</t>
  </si>
  <si>
    <t>Popsi Mixta Élite 1kg x30</t>
  </si>
  <si>
    <t>361661</t>
  </si>
  <si>
    <t>Maxigasa x50 Unitex</t>
  </si>
  <si>
    <t>30732</t>
  </si>
  <si>
    <t>Cloro 400ml Lavaflex</t>
  </si>
  <si>
    <t>Rad Cocktail Nuevo</t>
  </si>
  <si>
    <t>Verificar nombre/cantidad, aparece '6 UND 36'</t>
  </si>
  <si>
    <t>Rayo Ron Vinilo 480ml</t>
  </si>
  <si>
    <t>Raid Doblación 400ml</t>
  </si>
  <si>
    <t>Guante Profesional M 0.35 Unitex</t>
  </si>
  <si>
    <t>Guante Largo 'L' 0.35 Unitex</t>
  </si>
  <si>
    <t>Guante Largo 'M' 0.35 Unitex</t>
  </si>
  <si>
    <t>Guante Cargador 'L' Unitex</t>
  </si>
  <si>
    <t>Guante Cargador 'M' Unitex</t>
  </si>
  <si>
    <t>Cepillo Pequeño Unitex</t>
  </si>
  <si>
    <t>Fibra Verde y Limpieza Unitex</t>
  </si>
  <si>
    <t>Fibra Esponja x7 Unitex</t>
  </si>
  <si>
    <t>Verificar cantidad (ilegible)</t>
  </si>
  <si>
    <t>Mopa #16 Repuesto</t>
  </si>
  <si>
    <t>Lavavajilla Limón Mg 900ml</t>
  </si>
  <si>
    <t>Limpiador Crema 750ml Unitex</t>
  </si>
  <si>
    <t>Esponja Fibra Delicada x100 Unitex</t>
  </si>
  <si>
    <t>Esponja Extra Fuerte x18 Unitex</t>
  </si>
  <si>
    <t>Escoba Podona Unitex</t>
  </si>
  <si>
    <t>Guante Multiuso Impermeable</t>
  </si>
  <si>
    <t>Limpia Sanitario Unitex x12</t>
  </si>
  <si>
    <t>Lejía Bidón Hoja</t>
  </si>
  <si>
    <t>Paño Esponja x12</t>
  </si>
  <si>
    <t>Jabón Élite Fantomático</t>
  </si>
  <si>
    <t>367173/367165</t>
  </si>
  <si>
    <t>Verificar código exacto</t>
  </si>
  <si>
    <t>Jabón Espuma Excellence</t>
  </si>
  <si>
    <t>371173</t>
  </si>
  <si>
    <t>Jaca Blanca Malatto x100</t>
  </si>
  <si>
    <t>Film Cocina 30.5x305</t>
  </si>
  <si>
    <t>Film Cocina 30.5x609</t>
  </si>
  <si>
    <t>Film Cocina 96x600</t>
  </si>
  <si>
    <t>Film Cocina 35x300x1400</t>
  </si>
  <si>
    <t>Film Cocina 35x380x1400</t>
  </si>
  <si>
    <t>Film Cocina 35x450x1400</t>
  </si>
  <si>
    <t>Aparece nota adicional '139', verificar</t>
  </si>
  <si>
    <t>Bouquet Verde 300ml</t>
  </si>
  <si>
    <t>Limpiador Panorama 3.3L Unitex</t>
  </si>
  <si>
    <t>Papel Absorbente x20 (5 hojas/muda)</t>
  </si>
  <si>
    <t>Papel Absorbente x20</t>
  </si>
  <si>
    <t>Súper Dalia Verde Unitex</t>
  </si>
  <si>
    <t>Súper Dalia Roja Unitex</t>
  </si>
  <si>
    <t>Bolsa Polietileno 26x40 x100</t>
  </si>
  <si>
    <t>Bolsa Polietileno 20x30 x100</t>
  </si>
  <si>
    <t>Bolsa 140LT x100 Unitex</t>
  </si>
  <si>
    <t>Cuarto 1</t>
  </si>
  <si>
    <t>Jabón Glicerina Élite</t>
  </si>
  <si>
    <t>371628</t>
  </si>
  <si>
    <t>Alcohol Gel Élite</t>
  </si>
  <si>
    <t>371626</t>
  </si>
  <si>
    <t>Jabón Antibacterial Élite</t>
  </si>
  <si>
    <t>371625</t>
  </si>
  <si>
    <t>Servilleta Doblada en 4 30x40</t>
  </si>
  <si>
    <t>360442</t>
  </si>
  <si>
    <t>Servilleta 33x33</t>
  </si>
  <si>
    <t>Servilleta Ecológica 33x22.5</t>
  </si>
  <si>
    <t>361704</t>
  </si>
  <si>
    <t>Servilleta Interfoliada Élite</t>
  </si>
  <si>
    <t>36160</t>
  </si>
  <si>
    <t>paq (7 und c/u)</t>
  </si>
  <si>
    <t>Canastillo Urinario</t>
  </si>
  <si>
    <t>Papel Toalla Interfoliado Súper</t>
  </si>
  <si>
    <t>25933</t>
  </si>
  <si>
    <t>Desatorador de Baño Unitex</t>
  </si>
  <si>
    <t>Trapeador Microfibra Ojal 40x40</t>
  </si>
  <si>
    <t>Paño Microfibra 30x30 Azul</t>
  </si>
  <si>
    <t>Paño Microfibra 30x30 Gris</t>
  </si>
  <si>
    <t>Paño Microfibra 30x30 Verde</t>
  </si>
  <si>
    <t>Paño Microfibra 30x30 Rojo</t>
  </si>
  <si>
    <t>Paño Microfibra 30x30 Naranja</t>
  </si>
  <si>
    <t>Paño Microfibra 30x30 Amarillo</t>
  </si>
  <si>
    <t>Paño Microfibra 40x40 Amarillo</t>
  </si>
  <si>
    <t>Paño Microfibra 40x40 Naranja</t>
  </si>
  <si>
    <t>Paño Microfibra 40x40 Gris</t>
  </si>
  <si>
    <t>Paño Microfibra 40x40 Verde</t>
  </si>
  <si>
    <t>Trapo Industrial</t>
  </si>
  <si>
    <t>bolsas (1 kg c/u)</t>
  </si>
  <si>
    <t>Cocina</t>
  </si>
  <si>
    <t>Papel Higiénico Élite Perfumado x24</t>
  </si>
  <si>
    <t>367166</t>
  </si>
  <si>
    <t>Papel Toalla Multipoder Clásico x8</t>
  </si>
  <si>
    <t>361536</t>
  </si>
  <si>
    <t>Guante Nitrilo 'H' Anjion</t>
  </si>
  <si>
    <t>Verificar nombre de marca</t>
  </si>
  <si>
    <t>Guante Nitrilo 'J'</t>
  </si>
  <si>
    <t>Esponja Scotch Brite 3M</t>
  </si>
  <si>
    <t>367199</t>
  </si>
  <si>
    <t>Guante Nitrilo 'L' Metallix</t>
  </si>
  <si>
    <t>Guante Látex 'H' Multitallo</t>
  </si>
  <si>
    <t>Guante Talla 'L' Multitallo</t>
  </si>
  <si>
    <t>Guante Látex 'L' Alfajor</t>
  </si>
  <si>
    <t>Verificar nombre/marca</t>
  </si>
  <si>
    <t>Lavavajilla Pasta Sapolio Jabón</t>
  </si>
  <si>
    <t>Guante Látex 'L'</t>
  </si>
  <si>
    <t>Guante Nitrilo 'M'</t>
  </si>
  <si>
    <t>N° de productos (SKU)</t>
  </si>
  <si>
    <t>Total unidades registradas</t>
  </si>
  <si>
    <t>TOTAL</t>
  </si>
  <si>
    <t>Bolsa 24LT Pollo virutex</t>
  </si>
  <si>
    <t>Bolsa 20LT Pollo virutex</t>
  </si>
  <si>
    <t>Bolsa 40LT Rollo virutex</t>
  </si>
  <si>
    <t>Bolsa 75LT Pollo virutex</t>
  </si>
  <si>
    <t>Bolsa 50LT Pollo virutex</t>
  </si>
  <si>
    <t>Bolsa 35LT Pollo virutex</t>
  </si>
  <si>
    <t>Paño Higiénico x4 virutex</t>
  </si>
  <si>
    <t>Limpiador Floral 3.8L virutex</t>
  </si>
  <si>
    <t>Removedor daryza 3.8lt</t>
  </si>
  <si>
    <t>Lejía gln maja</t>
  </si>
  <si>
    <t>Limpia inodoro daryza  3.8LT</t>
  </si>
  <si>
    <t>Papel Toalla interfoliado x4x8 hojas</t>
  </si>
  <si>
    <t>PH Súper x4x4x250ml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</si>
</sst>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color rgb="FFC00000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horizontal="left"/>
    </xf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3"/>
  <sheetViews>
    <sheetView tabSelected="1" zoomScaleNormal="100" workbookViewId="0">
      <pane ySplit="1" topLeftCell="A2" activePane="bottomLeft" state="frozen"/>
      <selection pane="bottomLeft" activeCell="B4" sqref="B4"/>
    </sheetView>
  </sheetViews>
  <sheetFormatPr baseColWidth="10" defaultColWidth="8.6640625" defaultRowHeight="14.4" x14ac:dyDescent="0.3"/>
  <cols>
    <col min="1" max="1" width="16" customWidth="1"/>
    <col min="2" max="2" width="42" customWidth="1"/>
    <col min="3" max="3" width="16" customWidth="1"/>
    <col min="4" max="4" width="11" customWidth="1"/>
    <col min="5" max="5" width="20" customWidth="1"/>
    <col min="6" max="6" width="42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3">
        <v>152</v>
      </c>
      <c r="E2" s="2" t="s">
        <v>9</v>
      </c>
      <c r="F2" s="4"/>
    </row>
    <row r="3" spans="1:6" x14ac:dyDescent="0.3">
      <c r="A3" s="2" t="s">
        <v>6</v>
      </c>
      <c r="B3" s="2" t="s">
        <v>10</v>
      </c>
      <c r="C3" s="2" t="s">
        <v>11</v>
      </c>
      <c r="D3" s="3">
        <v>100</v>
      </c>
      <c r="E3" s="2" t="s">
        <v>9</v>
      </c>
      <c r="F3" s="4" t="s">
        <v>12</v>
      </c>
    </row>
    <row r="4" spans="1:6" x14ac:dyDescent="0.3">
      <c r="A4" s="2" t="s">
        <v>6</v>
      </c>
      <c r="B4" s="2" t="s">
        <v>224</v>
      </c>
      <c r="C4" s="2" t="s">
        <v>13</v>
      </c>
      <c r="D4" s="3">
        <v>40</v>
      </c>
      <c r="E4" s="2" t="s">
        <v>9</v>
      </c>
      <c r="F4" s="4" t="s">
        <v>14</v>
      </c>
    </row>
    <row r="5" spans="1:6" x14ac:dyDescent="0.3">
      <c r="A5" s="2" t="s">
        <v>6</v>
      </c>
      <c r="B5" s="2" t="s">
        <v>223</v>
      </c>
      <c r="C5" s="2" t="s">
        <v>15</v>
      </c>
      <c r="D5" s="3">
        <v>12</v>
      </c>
      <c r="E5" s="2" t="s">
        <v>16</v>
      </c>
      <c r="F5" s="4"/>
    </row>
    <row r="6" spans="1:6" x14ac:dyDescent="0.3">
      <c r="A6" s="2" t="s">
        <v>6</v>
      </c>
      <c r="B6" s="2" t="s">
        <v>17</v>
      </c>
      <c r="C6" s="2" t="s">
        <v>18</v>
      </c>
      <c r="D6" s="3">
        <v>27</v>
      </c>
      <c r="E6" s="2" t="s">
        <v>19</v>
      </c>
      <c r="F6" s="4"/>
    </row>
    <row r="7" spans="1:6" x14ac:dyDescent="0.3">
      <c r="A7" s="2" t="s">
        <v>6</v>
      </c>
      <c r="B7" s="2" t="s">
        <v>20</v>
      </c>
      <c r="C7" s="2" t="s">
        <v>21</v>
      </c>
      <c r="D7" s="3">
        <v>28</v>
      </c>
      <c r="E7" s="2" t="s">
        <v>22</v>
      </c>
      <c r="F7" s="4"/>
    </row>
    <row r="8" spans="1:6" x14ac:dyDescent="0.3">
      <c r="A8" s="2" t="s">
        <v>6</v>
      </c>
      <c r="B8" s="2" t="s">
        <v>23</v>
      </c>
      <c r="C8" s="2" t="s">
        <v>24</v>
      </c>
      <c r="D8" s="3">
        <v>2</v>
      </c>
      <c r="E8" s="2" t="s">
        <v>22</v>
      </c>
      <c r="F8" s="4"/>
    </row>
    <row r="9" spans="1:6" x14ac:dyDescent="0.3">
      <c r="A9" s="2" t="s">
        <v>6</v>
      </c>
      <c r="B9" s="2" t="s">
        <v>25</v>
      </c>
      <c r="C9" s="2" t="s">
        <v>26</v>
      </c>
      <c r="D9" s="3">
        <v>39</v>
      </c>
      <c r="E9" s="2" t="s">
        <v>9</v>
      </c>
      <c r="F9" s="4" t="s">
        <v>27</v>
      </c>
    </row>
    <row r="10" spans="1:6" x14ac:dyDescent="0.3">
      <c r="A10" s="2" t="s">
        <v>6</v>
      </c>
      <c r="B10" s="2" t="s">
        <v>28</v>
      </c>
      <c r="C10" s="2" t="s">
        <v>29</v>
      </c>
      <c r="D10" s="3">
        <v>227</v>
      </c>
      <c r="E10" s="2" t="s">
        <v>22</v>
      </c>
      <c r="F10" s="4"/>
    </row>
    <row r="11" spans="1:6" x14ac:dyDescent="0.3">
      <c r="A11" s="2" t="s">
        <v>6</v>
      </c>
      <c r="B11" s="2" t="s">
        <v>30</v>
      </c>
      <c r="C11" s="2" t="s">
        <v>31</v>
      </c>
      <c r="D11" s="3">
        <v>265</v>
      </c>
      <c r="E11" s="2" t="s">
        <v>9</v>
      </c>
      <c r="F11" s="4"/>
    </row>
    <row r="12" spans="1:6" x14ac:dyDescent="0.3">
      <c r="A12" s="2" t="s">
        <v>6</v>
      </c>
      <c r="B12" s="2" t="s">
        <v>32</v>
      </c>
      <c r="C12" s="2" t="s">
        <v>33</v>
      </c>
      <c r="D12" s="3">
        <v>190</v>
      </c>
      <c r="E12" s="2" t="s">
        <v>22</v>
      </c>
      <c r="F12" s="4"/>
    </row>
    <row r="13" spans="1:6" x14ac:dyDescent="0.3">
      <c r="A13" s="2" t="s">
        <v>6</v>
      </c>
      <c r="B13" s="2" t="s">
        <v>34</v>
      </c>
      <c r="C13" s="2" t="s">
        <v>35</v>
      </c>
      <c r="D13" s="3">
        <v>95</v>
      </c>
      <c r="E13" s="2" t="s">
        <v>22</v>
      </c>
      <c r="F13" s="4" t="s">
        <v>36</v>
      </c>
    </row>
    <row r="14" spans="1:6" x14ac:dyDescent="0.3">
      <c r="A14" s="2" t="s">
        <v>6</v>
      </c>
      <c r="B14" s="2" t="s">
        <v>37</v>
      </c>
      <c r="C14" s="2" t="s">
        <v>38</v>
      </c>
      <c r="D14" s="3">
        <v>129</v>
      </c>
      <c r="E14" s="2" t="s">
        <v>39</v>
      </c>
      <c r="F14" s="4"/>
    </row>
    <row r="15" spans="1:6" x14ac:dyDescent="0.3">
      <c r="A15" s="2" t="s">
        <v>6</v>
      </c>
      <c r="B15" s="2" t="s">
        <v>40</v>
      </c>
      <c r="C15" s="2" t="s">
        <v>41</v>
      </c>
      <c r="D15" s="3">
        <v>98</v>
      </c>
      <c r="E15" s="2" t="s">
        <v>22</v>
      </c>
      <c r="F15" s="4"/>
    </row>
    <row r="16" spans="1:6" x14ac:dyDescent="0.3">
      <c r="A16" s="2" t="s">
        <v>6</v>
      </c>
      <c r="B16" s="2" t="s">
        <v>42</v>
      </c>
      <c r="C16" s="2" t="s">
        <v>43</v>
      </c>
      <c r="D16" s="3">
        <v>10</v>
      </c>
      <c r="E16" s="2" t="s">
        <v>22</v>
      </c>
      <c r="F16" s="4"/>
    </row>
    <row r="17" spans="1:6" x14ac:dyDescent="0.3">
      <c r="A17" s="2" t="s">
        <v>6</v>
      </c>
      <c r="B17" s="2" t="s">
        <v>44</v>
      </c>
      <c r="C17" s="2"/>
      <c r="D17" s="3">
        <v>65</v>
      </c>
      <c r="E17" s="2" t="s">
        <v>45</v>
      </c>
      <c r="F17" s="4" t="s">
        <v>46</v>
      </c>
    </row>
    <row r="18" spans="1:6" x14ac:dyDescent="0.3">
      <c r="A18" s="2" t="s">
        <v>6</v>
      </c>
      <c r="B18" s="2" t="s">
        <v>47</v>
      </c>
      <c r="C18" s="2" t="s">
        <v>48</v>
      </c>
      <c r="D18" s="3">
        <v>15</v>
      </c>
      <c r="E18" s="2" t="s">
        <v>22</v>
      </c>
      <c r="F18" s="4"/>
    </row>
    <row r="19" spans="1:6" x14ac:dyDescent="0.3">
      <c r="A19" s="2" t="s">
        <v>6</v>
      </c>
      <c r="B19" s="2" t="s">
        <v>49</v>
      </c>
      <c r="C19" s="2" t="s">
        <v>50</v>
      </c>
      <c r="D19" s="3">
        <v>11</v>
      </c>
      <c r="E19" s="2" t="s">
        <v>51</v>
      </c>
      <c r="F19" s="4"/>
    </row>
    <row r="20" spans="1:6" x14ac:dyDescent="0.3">
      <c r="A20" s="2" t="s">
        <v>6</v>
      </c>
      <c r="B20" s="2" t="s">
        <v>52</v>
      </c>
      <c r="C20" s="2" t="s">
        <v>53</v>
      </c>
      <c r="D20" s="3">
        <v>27</v>
      </c>
      <c r="E20" s="2" t="s">
        <v>22</v>
      </c>
      <c r="F20" s="4"/>
    </row>
    <row r="21" spans="1:6" x14ac:dyDescent="0.3">
      <c r="A21" s="2" t="s">
        <v>6</v>
      </c>
      <c r="B21" s="2" t="s">
        <v>54</v>
      </c>
      <c r="C21" s="2" t="s">
        <v>55</v>
      </c>
      <c r="D21" s="3">
        <v>25</v>
      </c>
      <c r="E21" s="2" t="s">
        <v>22</v>
      </c>
      <c r="F21" s="4"/>
    </row>
    <row r="22" spans="1:6" x14ac:dyDescent="0.3">
      <c r="A22" s="2" t="s">
        <v>6</v>
      </c>
      <c r="B22" s="2" t="s">
        <v>56</v>
      </c>
      <c r="C22" s="2" t="s">
        <v>57</v>
      </c>
      <c r="D22" s="3">
        <v>30</v>
      </c>
      <c r="E22" s="2" t="s">
        <v>9</v>
      </c>
      <c r="F22" s="4"/>
    </row>
    <row r="23" spans="1:6" x14ac:dyDescent="0.3">
      <c r="A23" s="2" t="s">
        <v>6</v>
      </c>
      <c r="B23" s="2" t="s">
        <v>58</v>
      </c>
      <c r="C23" s="2" t="s">
        <v>59</v>
      </c>
      <c r="D23" s="3">
        <v>30</v>
      </c>
      <c r="E23" s="2" t="s">
        <v>9</v>
      </c>
      <c r="F23" s="4"/>
    </row>
    <row r="24" spans="1:6" x14ac:dyDescent="0.3">
      <c r="A24" s="2" t="s">
        <v>6</v>
      </c>
      <c r="B24" s="2" t="s">
        <v>60</v>
      </c>
      <c r="C24" s="2" t="s">
        <v>61</v>
      </c>
      <c r="D24" s="3">
        <v>10</v>
      </c>
      <c r="E24" s="2" t="s">
        <v>22</v>
      </c>
      <c r="F24" s="4" t="s">
        <v>27</v>
      </c>
    </row>
    <row r="25" spans="1:6" x14ac:dyDescent="0.3">
      <c r="A25" s="2" t="s">
        <v>6</v>
      </c>
      <c r="B25" s="2" t="s">
        <v>62</v>
      </c>
      <c r="C25" s="2" t="s">
        <v>63</v>
      </c>
      <c r="D25" s="3">
        <v>18</v>
      </c>
      <c r="E25" s="2" t="s">
        <v>22</v>
      </c>
      <c r="F25" s="4"/>
    </row>
    <row r="26" spans="1:6" x14ac:dyDescent="0.3">
      <c r="A26" s="2" t="s">
        <v>6</v>
      </c>
      <c r="B26" s="2" t="s">
        <v>64</v>
      </c>
      <c r="C26" s="2"/>
      <c r="D26" s="3">
        <v>60</v>
      </c>
      <c r="E26" s="2" t="s">
        <v>65</v>
      </c>
      <c r="F26" s="4"/>
    </row>
    <row r="27" spans="1:6" x14ac:dyDescent="0.3">
      <c r="A27" s="2" t="s">
        <v>6</v>
      </c>
      <c r="B27" s="2" t="s">
        <v>66</v>
      </c>
      <c r="C27" s="2"/>
      <c r="D27" s="3">
        <v>60</v>
      </c>
      <c r="E27" s="2" t="s">
        <v>65</v>
      </c>
      <c r="F27" s="4"/>
    </row>
    <row r="28" spans="1:6" x14ac:dyDescent="0.3">
      <c r="A28" s="2" t="s">
        <v>6</v>
      </c>
      <c r="B28" s="2" t="s">
        <v>67</v>
      </c>
      <c r="C28" s="2"/>
      <c r="D28" s="3">
        <v>59</v>
      </c>
      <c r="E28" s="2" t="s">
        <v>65</v>
      </c>
      <c r="F28" s="4"/>
    </row>
    <row r="29" spans="1:6" x14ac:dyDescent="0.3">
      <c r="A29" s="2" t="s">
        <v>6</v>
      </c>
      <c r="B29" s="2" t="s">
        <v>68</v>
      </c>
      <c r="C29" s="2"/>
      <c r="D29" s="3">
        <v>59</v>
      </c>
      <c r="E29" s="2" t="s">
        <v>65</v>
      </c>
      <c r="F29" s="4"/>
    </row>
    <row r="30" spans="1:6" x14ac:dyDescent="0.3">
      <c r="A30" s="2" t="s">
        <v>6</v>
      </c>
      <c r="B30" s="2" t="s">
        <v>69</v>
      </c>
      <c r="C30" s="2"/>
      <c r="D30" s="3">
        <v>60</v>
      </c>
      <c r="E30" s="2" t="s">
        <v>70</v>
      </c>
      <c r="F30" s="4"/>
    </row>
    <row r="31" spans="1:6" x14ac:dyDescent="0.3">
      <c r="A31" s="2" t="s">
        <v>6</v>
      </c>
      <c r="B31" s="2" t="s">
        <v>71</v>
      </c>
      <c r="C31" s="2"/>
      <c r="D31" s="3">
        <v>34</v>
      </c>
      <c r="E31" s="2" t="s">
        <v>9</v>
      </c>
      <c r="F31" s="4"/>
    </row>
    <row r="32" spans="1:6" x14ac:dyDescent="0.3">
      <c r="A32" s="2" t="s">
        <v>6</v>
      </c>
      <c r="B32" s="2" t="s">
        <v>72</v>
      </c>
      <c r="C32" s="2"/>
      <c r="D32" s="3">
        <v>23</v>
      </c>
      <c r="E32" s="2" t="s">
        <v>9</v>
      </c>
      <c r="F32" s="4"/>
    </row>
    <row r="33" spans="1:6" x14ac:dyDescent="0.3">
      <c r="A33" s="2" t="s">
        <v>6</v>
      </c>
      <c r="B33" s="2" t="s">
        <v>73</v>
      </c>
      <c r="C33" s="2"/>
      <c r="D33" s="3">
        <v>5</v>
      </c>
      <c r="E33" s="2" t="s">
        <v>22</v>
      </c>
      <c r="F33" s="4" t="s">
        <v>74</v>
      </c>
    </row>
    <row r="34" spans="1:6" x14ac:dyDescent="0.3">
      <c r="A34" s="2" t="s">
        <v>6</v>
      </c>
      <c r="B34" s="2" t="s">
        <v>75</v>
      </c>
      <c r="C34" s="2"/>
      <c r="D34" s="3">
        <v>10</v>
      </c>
      <c r="E34" s="2" t="s">
        <v>76</v>
      </c>
      <c r="F34" s="4"/>
    </row>
    <row r="35" spans="1:6" x14ac:dyDescent="0.3">
      <c r="A35" s="2" t="s">
        <v>6</v>
      </c>
      <c r="B35" s="2" t="s">
        <v>77</v>
      </c>
      <c r="C35" s="2"/>
      <c r="D35" s="3">
        <v>4</v>
      </c>
      <c r="E35" s="2" t="s">
        <v>9</v>
      </c>
      <c r="F35" s="4"/>
    </row>
    <row r="36" spans="1:6" x14ac:dyDescent="0.3">
      <c r="A36" s="2" t="s">
        <v>6</v>
      </c>
      <c r="B36" s="2" t="s">
        <v>78</v>
      </c>
      <c r="C36" s="2"/>
      <c r="D36" s="3">
        <v>16</v>
      </c>
      <c r="E36" s="2" t="s">
        <v>9</v>
      </c>
      <c r="F36" s="4"/>
    </row>
    <row r="37" spans="1:6" x14ac:dyDescent="0.3">
      <c r="A37" s="2" t="s">
        <v>6</v>
      </c>
      <c r="B37" s="2" t="s">
        <v>79</v>
      </c>
      <c r="C37" s="2"/>
      <c r="D37" s="3">
        <v>12</v>
      </c>
      <c r="E37" s="2" t="s">
        <v>9</v>
      </c>
      <c r="F37" s="4"/>
    </row>
    <row r="38" spans="1:6" x14ac:dyDescent="0.3">
      <c r="A38" s="2" t="s">
        <v>6</v>
      </c>
      <c r="B38" s="2" t="s">
        <v>80</v>
      </c>
      <c r="C38" s="2" t="s">
        <v>81</v>
      </c>
      <c r="D38" s="3">
        <v>10</v>
      </c>
      <c r="E38" s="2" t="s">
        <v>9</v>
      </c>
      <c r="F38" s="4"/>
    </row>
    <row r="39" spans="1:6" x14ac:dyDescent="0.3">
      <c r="A39" s="2" t="s">
        <v>82</v>
      </c>
      <c r="B39" s="2" t="s">
        <v>83</v>
      </c>
      <c r="C39" s="2"/>
      <c r="D39" s="3">
        <v>72</v>
      </c>
      <c r="E39" s="2" t="s">
        <v>84</v>
      </c>
      <c r="F39" s="4" t="s">
        <v>27</v>
      </c>
    </row>
    <row r="40" spans="1:6" x14ac:dyDescent="0.3">
      <c r="A40" s="2" t="s">
        <v>82</v>
      </c>
      <c r="B40" s="2" t="s">
        <v>85</v>
      </c>
      <c r="C40" s="2"/>
      <c r="D40" s="3">
        <v>30</v>
      </c>
      <c r="E40" s="2" t="s">
        <v>39</v>
      </c>
      <c r="F40" s="4"/>
    </row>
    <row r="41" spans="1:6" x14ac:dyDescent="0.3">
      <c r="A41" s="2" t="s">
        <v>82</v>
      </c>
      <c r="B41" s="2" t="s">
        <v>86</v>
      </c>
      <c r="C41" s="2"/>
      <c r="D41" s="3">
        <v>61</v>
      </c>
      <c r="E41" s="2" t="s">
        <v>9</v>
      </c>
      <c r="F41" s="4" t="s">
        <v>87</v>
      </c>
    </row>
    <row r="42" spans="1:6" x14ac:dyDescent="0.3">
      <c r="A42" s="2" t="s">
        <v>82</v>
      </c>
      <c r="B42" s="2" t="s">
        <v>88</v>
      </c>
      <c r="C42" s="2"/>
      <c r="D42" s="3">
        <v>61</v>
      </c>
      <c r="E42" s="2" t="s">
        <v>9</v>
      </c>
      <c r="F42" s="4" t="s">
        <v>89</v>
      </c>
    </row>
    <row r="43" spans="1:6" x14ac:dyDescent="0.3">
      <c r="A43" s="2" t="s">
        <v>82</v>
      </c>
      <c r="B43" s="2" t="s">
        <v>90</v>
      </c>
      <c r="C43" s="2"/>
      <c r="D43" s="3">
        <v>61</v>
      </c>
      <c r="E43" s="2" t="s">
        <v>9</v>
      </c>
      <c r="F43" s="4" t="s">
        <v>91</v>
      </c>
    </row>
    <row r="44" spans="1:6" x14ac:dyDescent="0.3">
      <c r="A44" s="2" t="s">
        <v>82</v>
      </c>
      <c r="B44" s="2" t="s">
        <v>92</v>
      </c>
      <c r="C44" s="2"/>
      <c r="D44" s="3">
        <v>61</v>
      </c>
      <c r="E44" s="2" t="s">
        <v>9</v>
      </c>
      <c r="F44" s="4" t="s">
        <v>93</v>
      </c>
    </row>
    <row r="45" spans="1:6" x14ac:dyDescent="0.3">
      <c r="A45" s="2" t="s">
        <v>82</v>
      </c>
      <c r="B45" s="2" t="s">
        <v>94</v>
      </c>
      <c r="C45" s="2"/>
      <c r="D45" s="3">
        <v>22</v>
      </c>
      <c r="E45" s="2" t="s">
        <v>9</v>
      </c>
      <c r="F45" s="4" t="s">
        <v>95</v>
      </c>
    </row>
    <row r="46" spans="1:6" x14ac:dyDescent="0.3">
      <c r="A46" s="2" t="s">
        <v>82</v>
      </c>
      <c r="B46" s="2" t="s">
        <v>96</v>
      </c>
      <c r="C46" s="2"/>
      <c r="D46" s="3">
        <v>72</v>
      </c>
      <c r="E46" s="2" t="s">
        <v>9</v>
      </c>
      <c r="F46" s="4"/>
    </row>
    <row r="47" spans="1:6" x14ac:dyDescent="0.3">
      <c r="A47" s="2" t="s">
        <v>82</v>
      </c>
      <c r="B47" s="2" t="s">
        <v>97</v>
      </c>
      <c r="C47" s="2"/>
      <c r="D47" s="3">
        <v>24</v>
      </c>
      <c r="E47" s="2" t="s">
        <v>9</v>
      </c>
      <c r="F47" s="4"/>
    </row>
    <row r="48" spans="1:6" x14ac:dyDescent="0.3">
      <c r="A48" s="2" t="s">
        <v>82</v>
      </c>
      <c r="B48" s="2" t="s">
        <v>98</v>
      </c>
      <c r="C48" s="2"/>
      <c r="D48" s="3">
        <v>13</v>
      </c>
      <c r="E48" s="2" t="s">
        <v>9</v>
      </c>
      <c r="F48" s="4"/>
    </row>
    <row r="49" spans="1:6" x14ac:dyDescent="0.3">
      <c r="A49" s="2" t="s">
        <v>82</v>
      </c>
      <c r="B49" s="2" t="s">
        <v>99</v>
      </c>
      <c r="C49" s="2"/>
      <c r="D49" s="3">
        <v>4</v>
      </c>
      <c r="E49" s="2" t="s">
        <v>9</v>
      </c>
      <c r="F49" s="4" t="s">
        <v>27</v>
      </c>
    </row>
    <row r="50" spans="1:6" x14ac:dyDescent="0.3">
      <c r="A50" s="2" t="s">
        <v>82</v>
      </c>
      <c r="B50" s="2" t="s">
        <v>100</v>
      </c>
      <c r="C50" s="2"/>
      <c r="D50" s="3">
        <v>70</v>
      </c>
      <c r="E50" s="2" t="s">
        <v>101</v>
      </c>
      <c r="F50" s="4"/>
    </row>
    <row r="51" spans="1:6" x14ac:dyDescent="0.3">
      <c r="A51" s="2" t="s">
        <v>82</v>
      </c>
      <c r="B51" s="2" t="s">
        <v>102</v>
      </c>
      <c r="C51" s="2"/>
      <c r="D51" s="3">
        <v>24</v>
      </c>
      <c r="E51" s="2" t="s">
        <v>9</v>
      </c>
      <c r="F51" s="4"/>
    </row>
    <row r="52" spans="1:6" x14ac:dyDescent="0.3">
      <c r="A52" s="2" t="s">
        <v>82</v>
      </c>
      <c r="B52" s="2" t="s">
        <v>103</v>
      </c>
      <c r="C52" s="2"/>
      <c r="D52" s="3">
        <v>24</v>
      </c>
      <c r="E52" s="2" t="s">
        <v>9</v>
      </c>
      <c r="F52" s="4"/>
    </row>
    <row r="53" spans="1:6" x14ac:dyDescent="0.3">
      <c r="A53" s="2" t="s">
        <v>82</v>
      </c>
      <c r="B53" s="2" t="s">
        <v>104</v>
      </c>
      <c r="C53" s="2"/>
      <c r="D53" s="3">
        <v>21</v>
      </c>
      <c r="E53" s="2" t="s">
        <v>9</v>
      </c>
      <c r="F53" s="4"/>
    </row>
    <row r="54" spans="1:6" x14ac:dyDescent="0.3">
      <c r="A54" s="2" t="s">
        <v>82</v>
      </c>
      <c r="B54" s="2" t="s">
        <v>105</v>
      </c>
      <c r="C54" s="2"/>
      <c r="D54" s="3">
        <v>20</v>
      </c>
      <c r="E54" s="2" t="s">
        <v>9</v>
      </c>
      <c r="F54" s="4"/>
    </row>
    <row r="55" spans="1:6" x14ac:dyDescent="0.3">
      <c r="A55" s="2" t="s">
        <v>82</v>
      </c>
      <c r="B55" s="2" t="s">
        <v>106</v>
      </c>
      <c r="C55" s="2"/>
      <c r="D55" s="3">
        <v>48</v>
      </c>
      <c r="E55" s="2" t="s">
        <v>9</v>
      </c>
      <c r="F55" s="4"/>
    </row>
    <row r="56" spans="1:6" x14ac:dyDescent="0.3">
      <c r="A56" s="2" t="s">
        <v>82</v>
      </c>
      <c r="B56" s="2" t="s">
        <v>107</v>
      </c>
      <c r="C56" s="2"/>
      <c r="D56" s="3">
        <v>24</v>
      </c>
      <c r="E56" s="2" t="s">
        <v>9</v>
      </c>
      <c r="F56" s="4" t="s">
        <v>108</v>
      </c>
    </row>
    <row r="57" spans="1:6" x14ac:dyDescent="0.3">
      <c r="A57" s="2" t="s">
        <v>82</v>
      </c>
      <c r="B57" s="2" t="s">
        <v>109</v>
      </c>
      <c r="C57" s="2" t="s">
        <v>110</v>
      </c>
      <c r="D57" s="3">
        <v>14</v>
      </c>
      <c r="E57" s="2" t="s">
        <v>22</v>
      </c>
      <c r="F57" s="4"/>
    </row>
    <row r="58" spans="1:6" x14ac:dyDescent="0.3">
      <c r="A58" s="2" t="s">
        <v>82</v>
      </c>
      <c r="B58" s="2" t="s">
        <v>111</v>
      </c>
      <c r="C58" s="2" t="s">
        <v>112</v>
      </c>
      <c r="D58" s="3">
        <v>8</v>
      </c>
      <c r="E58" s="2" t="s">
        <v>65</v>
      </c>
      <c r="F58" s="4"/>
    </row>
    <row r="59" spans="1:6" x14ac:dyDescent="0.3">
      <c r="A59" s="2" t="s">
        <v>82</v>
      </c>
      <c r="B59" s="2" t="s">
        <v>113</v>
      </c>
      <c r="C59" s="2"/>
      <c r="D59" s="3">
        <v>180</v>
      </c>
      <c r="E59" s="2" t="s">
        <v>9</v>
      </c>
      <c r="F59" s="4"/>
    </row>
    <row r="60" spans="1:6" x14ac:dyDescent="0.3">
      <c r="A60" s="2" t="s">
        <v>82</v>
      </c>
      <c r="B60" s="2" t="s">
        <v>114</v>
      </c>
      <c r="C60" s="2"/>
      <c r="D60" s="3">
        <v>6</v>
      </c>
      <c r="E60" s="2" t="s">
        <v>9</v>
      </c>
      <c r="F60" s="4" t="s">
        <v>115</v>
      </c>
    </row>
    <row r="61" spans="1:6" x14ac:dyDescent="0.3">
      <c r="A61" s="2" t="s">
        <v>82</v>
      </c>
      <c r="B61" s="2" t="s">
        <v>116</v>
      </c>
      <c r="C61" s="2"/>
      <c r="D61" s="3">
        <v>60</v>
      </c>
      <c r="E61" s="2" t="s">
        <v>9</v>
      </c>
      <c r="F61" s="4"/>
    </row>
    <row r="62" spans="1:6" x14ac:dyDescent="0.3">
      <c r="A62" s="2" t="s">
        <v>82</v>
      </c>
      <c r="B62" s="2" t="s">
        <v>117</v>
      </c>
      <c r="C62" s="2"/>
      <c r="D62" s="3">
        <v>36</v>
      </c>
      <c r="E62" s="2" t="s">
        <v>9</v>
      </c>
      <c r="F62" s="4"/>
    </row>
    <row r="63" spans="1:6" x14ac:dyDescent="0.3">
      <c r="A63" s="2" t="s">
        <v>82</v>
      </c>
      <c r="B63" s="2" t="s">
        <v>118</v>
      </c>
      <c r="C63" s="2"/>
      <c r="D63" s="3">
        <v>24</v>
      </c>
      <c r="E63" s="2" t="s">
        <v>9</v>
      </c>
      <c r="F63" s="4"/>
    </row>
    <row r="64" spans="1:6" x14ac:dyDescent="0.3">
      <c r="A64" s="2" t="s">
        <v>82</v>
      </c>
      <c r="B64" s="2" t="s">
        <v>119</v>
      </c>
      <c r="C64" s="2"/>
      <c r="D64" s="3">
        <v>36</v>
      </c>
      <c r="E64" s="2" t="s">
        <v>9</v>
      </c>
      <c r="F64" s="4"/>
    </row>
    <row r="65" spans="1:6" x14ac:dyDescent="0.3">
      <c r="A65" s="2" t="s">
        <v>82</v>
      </c>
      <c r="B65" s="2" t="s">
        <v>120</v>
      </c>
      <c r="C65" s="2"/>
      <c r="D65" s="3">
        <v>36</v>
      </c>
      <c r="E65" s="2" t="s">
        <v>9</v>
      </c>
      <c r="F65" s="4"/>
    </row>
    <row r="66" spans="1:6" x14ac:dyDescent="0.3">
      <c r="A66" s="2" t="s">
        <v>82</v>
      </c>
      <c r="B66" s="2" t="s">
        <v>121</v>
      </c>
      <c r="C66" s="2"/>
      <c r="D66" s="3">
        <v>24</v>
      </c>
      <c r="E66" s="2" t="s">
        <v>9</v>
      </c>
      <c r="F66" s="4"/>
    </row>
    <row r="67" spans="1:6" x14ac:dyDescent="0.3">
      <c r="A67" s="2" t="s">
        <v>82</v>
      </c>
      <c r="B67" s="2" t="s">
        <v>122</v>
      </c>
      <c r="C67" s="2"/>
      <c r="D67" s="3">
        <v>48</v>
      </c>
      <c r="E67" s="2" t="s">
        <v>9</v>
      </c>
      <c r="F67" s="4"/>
    </row>
    <row r="68" spans="1:6" x14ac:dyDescent="0.3">
      <c r="A68" s="2" t="s">
        <v>82</v>
      </c>
      <c r="B68" s="2" t="s">
        <v>123</v>
      </c>
      <c r="C68" s="2"/>
      <c r="D68" s="3">
        <v>24</v>
      </c>
      <c r="E68" s="2" t="s">
        <v>9</v>
      </c>
      <c r="F68" s="4"/>
    </row>
    <row r="69" spans="1:6" x14ac:dyDescent="0.3">
      <c r="A69" s="2" t="s">
        <v>82</v>
      </c>
      <c r="B69" s="2" t="s">
        <v>124</v>
      </c>
      <c r="C69" s="2"/>
      <c r="D69" s="3">
        <v>178</v>
      </c>
      <c r="E69" s="2" t="s">
        <v>9</v>
      </c>
      <c r="F69" s="4"/>
    </row>
    <row r="70" spans="1:6" x14ac:dyDescent="0.3">
      <c r="A70" s="2" t="s">
        <v>82</v>
      </c>
      <c r="B70" s="2" t="s">
        <v>125</v>
      </c>
      <c r="C70" s="2"/>
      <c r="D70" s="3">
        <v>6</v>
      </c>
      <c r="E70" s="2" t="s">
        <v>9</v>
      </c>
      <c r="F70" s="4" t="s">
        <v>126</v>
      </c>
    </row>
    <row r="71" spans="1:6" x14ac:dyDescent="0.3">
      <c r="A71" s="2" t="s">
        <v>82</v>
      </c>
      <c r="B71" s="2" t="s">
        <v>127</v>
      </c>
      <c r="C71" s="2"/>
      <c r="D71" s="3">
        <v>121</v>
      </c>
      <c r="E71" s="2" t="s">
        <v>9</v>
      </c>
      <c r="F71" s="4"/>
    </row>
    <row r="72" spans="1:6" x14ac:dyDescent="0.3">
      <c r="A72" s="2" t="s">
        <v>82</v>
      </c>
      <c r="B72" s="2" t="s">
        <v>128</v>
      </c>
      <c r="C72" s="2"/>
      <c r="D72" s="3">
        <v>30</v>
      </c>
      <c r="E72" s="2" t="s">
        <v>9</v>
      </c>
      <c r="F72" s="4"/>
    </row>
    <row r="73" spans="1:6" x14ac:dyDescent="0.3">
      <c r="A73" s="2" t="s">
        <v>82</v>
      </c>
      <c r="B73" s="2" t="s">
        <v>129</v>
      </c>
      <c r="C73" s="2"/>
      <c r="D73" s="3">
        <v>12</v>
      </c>
      <c r="E73" s="2" t="s">
        <v>9</v>
      </c>
      <c r="F73" s="4"/>
    </row>
    <row r="74" spans="1:6" x14ac:dyDescent="0.3">
      <c r="A74" s="2" t="s">
        <v>82</v>
      </c>
      <c r="B74" s="2" t="s">
        <v>130</v>
      </c>
      <c r="C74" s="2"/>
      <c r="D74" s="3">
        <v>27</v>
      </c>
      <c r="E74" s="2" t="s">
        <v>9</v>
      </c>
      <c r="F74" s="4"/>
    </row>
    <row r="75" spans="1:6" x14ac:dyDescent="0.3">
      <c r="A75" s="2" t="s">
        <v>82</v>
      </c>
      <c r="B75" s="2" t="s">
        <v>131</v>
      </c>
      <c r="C75" s="2"/>
      <c r="D75" s="3">
        <v>36</v>
      </c>
      <c r="E75" s="2" t="s">
        <v>9</v>
      </c>
      <c r="F75" s="4"/>
    </row>
    <row r="76" spans="1:6" x14ac:dyDescent="0.3">
      <c r="A76" s="2" t="s">
        <v>82</v>
      </c>
      <c r="B76" s="2" t="s">
        <v>132</v>
      </c>
      <c r="C76" s="2"/>
      <c r="D76" s="3">
        <v>67</v>
      </c>
      <c r="E76" s="2" t="s">
        <v>9</v>
      </c>
      <c r="F76" s="4"/>
    </row>
    <row r="77" spans="1:6" x14ac:dyDescent="0.3">
      <c r="A77" s="2" t="s">
        <v>82</v>
      </c>
      <c r="B77" s="2" t="s">
        <v>133</v>
      </c>
      <c r="C77" s="2"/>
      <c r="D77" s="3">
        <v>97</v>
      </c>
      <c r="E77" s="2" t="s">
        <v>9</v>
      </c>
      <c r="F77" s="4"/>
    </row>
    <row r="78" spans="1:6" x14ac:dyDescent="0.3">
      <c r="A78" s="2" t="s">
        <v>82</v>
      </c>
      <c r="B78" s="2" t="s">
        <v>134</v>
      </c>
      <c r="C78" s="2"/>
      <c r="D78" s="3">
        <v>36</v>
      </c>
      <c r="E78" s="2" t="s">
        <v>9</v>
      </c>
      <c r="F78" s="4"/>
    </row>
    <row r="79" spans="1:6" x14ac:dyDescent="0.3">
      <c r="A79" s="2" t="s">
        <v>82</v>
      </c>
      <c r="B79" s="2" t="s">
        <v>135</v>
      </c>
      <c r="C79" s="2"/>
      <c r="D79" s="3">
        <v>4</v>
      </c>
      <c r="E79" s="2" t="s">
        <v>9</v>
      </c>
      <c r="F79" s="4"/>
    </row>
    <row r="80" spans="1:6" x14ac:dyDescent="0.3">
      <c r="A80" s="2" t="s">
        <v>82</v>
      </c>
      <c r="B80" s="2" t="s">
        <v>220</v>
      </c>
      <c r="C80" s="2"/>
      <c r="D80" s="3">
        <v>5</v>
      </c>
      <c r="E80" s="2" t="s">
        <v>9</v>
      </c>
      <c r="F80" s="4"/>
    </row>
    <row r="81" spans="1:6" x14ac:dyDescent="0.3">
      <c r="A81" s="2" t="s">
        <v>82</v>
      </c>
      <c r="B81" s="2" t="s">
        <v>221</v>
      </c>
      <c r="C81" s="2"/>
      <c r="D81" s="3">
        <v>13</v>
      </c>
      <c r="E81" s="2" t="s">
        <v>9</v>
      </c>
      <c r="F81" s="4"/>
    </row>
    <row r="82" spans="1:6" x14ac:dyDescent="0.3">
      <c r="A82" s="2" t="s">
        <v>82</v>
      </c>
      <c r="B82" s="2" t="s">
        <v>222</v>
      </c>
      <c r="C82" s="2"/>
      <c r="D82" s="3">
        <v>8</v>
      </c>
      <c r="E82" s="2" t="s">
        <v>9</v>
      </c>
      <c r="F82" s="4"/>
    </row>
    <row r="83" spans="1:6" x14ac:dyDescent="0.3">
      <c r="A83" s="2" t="s">
        <v>82</v>
      </c>
      <c r="B83" s="2" t="s">
        <v>136</v>
      </c>
      <c r="C83" s="2"/>
      <c r="D83" s="3">
        <v>28</v>
      </c>
      <c r="E83" s="2" t="s">
        <v>9</v>
      </c>
      <c r="F83" s="4"/>
    </row>
    <row r="84" spans="1:6" x14ac:dyDescent="0.3">
      <c r="A84" s="2" t="s">
        <v>82</v>
      </c>
      <c r="B84" s="2" t="s">
        <v>137</v>
      </c>
      <c r="C84" s="2" t="s">
        <v>138</v>
      </c>
      <c r="D84" s="3">
        <v>270</v>
      </c>
      <c r="E84" s="2" t="s">
        <v>9</v>
      </c>
      <c r="F84" s="4" t="s">
        <v>139</v>
      </c>
    </row>
    <row r="85" spans="1:6" x14ac:dyDescent="0.3">
      <c r="A85" s="2" t="s">
        <v>82</v>
      </c>
      <c r="B85" s="2" t="s">
        <v>140</v>
      </c>
      <c r="C85" s="2" t="s">
        <v>141</v>
      </c>
      <c r="D85" s="3">
        <v>132</v>
      </c>
      <c r="E85" s="2" t="s">
        <v>9</v>
      </c>
      <c r="F85" s="4"/>
    </row>
    <row r="86" spans="1:6" x14ac:dyDescent="0.3">
      <c r="A86" s="2" t="s">
        <v>82</v>
      </c>
      <c r="B86" s="2" t="s">
        <v>142</v>
      </c>
      <c r="C86" s="2"/>
      <c r="D86" s="3">
        <v>218</v>
      </c>
      <c r="E86" s="2" t="s">
        <v>9</v>
      </c>
      <c r="F86" s="4"/>
    </row>
    <row r="87" spans="1:6" x14ac:dyDescent="0.3">
      <c r="A87" s="2" t="s">
        <v>82</v>
      </c>
      <c r="B87" s="2" t="s">
        <v>143</v>
      </c>
      <c r="C87" s="2"/>
      <c r="D87" s="3">
        <v>1</v>
      </c>
      <c r="E87" s="2" t="s">
        <v>9</v>
      </c>
      <c r="F87" s="4"/>
    </row>
    <row r="88" spans="1:6" x14ac:dyDescent="0.3">
      <c r="A88" s="2" t="s">
        <v>82</v>
      </c>
      <c r="B88" s="2" t="s">
        <v>144</v>
      </c>
      <c r="C88" s="2"/>
      <c r="D88" s="3">
        <v>1</v>
      </c>
      <c r="E88" s="2" t="s">
        <v>9</v>
      </c>
      <c r="F88" s="4"/>
    </row>
    <row r="89" spans="1:6" x14ac:dyDescent="0.3">
      <c r="A89" s="2" t="s">
        <v>82</v>
      </c>
      <c r="B89" s="2" t="s">
        <v>145</v>
      </c>
      <c r="C89" s="2"/>
      <c r="D89" s="3">
        <v>1</v>
      </c>
      <c r="E89" s="2" t="s">
        <v>9</v>
      </c>
      <c r="F89" s="4"/>
    </row>
    <row r="90" spans="1:6" x14ac:dyDescent="0.3">
      <c r="A90" s="2" t="s">
        <v>82</v>
      </c>
      <c r="B90" s="2" t="s">
        <v>146</v>
      </c>
      <c r="C90" s="2"/>
      <c r="D90" s="3">
        <v>1</v>
      </c>
      <c r="E90" s="2" t="s">
        <v>9</v>
      </c>
      <c r="F90" s="4"/>
    </row>
    <row r="91" spans="1:6" x14ac:dyDescent="0.3">
      <c r="A91" s="2" t="s">
        <v>82</v>
      </c>
      <c r="B91" s="2" t="s">
        <v>147</v>
      </c>
      <c r="C91" s="2"/>
      <c r="D91" s="3">
        <v>1</v>
      </c>
      <c r="E91" s="2" t="s">
        <v>9</v>
      </c>
      <c r="F91" s="4"/>
    </row>
    <row r="92" spans="1:6" x14ac:dyDescent="0.3">
      <c r="A92" s="2" t="s">
        <v>82</v>
      </c>
      <c r="B92" s="2" t="s">
        <v>148</v>
      </c>
      <c r="C92" s="2"/>
      <c r="D92" s="3">
        <v>1</v>
      </c>
      <c r="E92" s="2" t="s">
        <v>9</v>
      </c>
      <c r="F92" s="4"/>
    </row>
    <row r="93" spans="1:6" x14ac:dyDescent="0.3">
      <c r="A93" s="2" t="s">
        <v>82</v>
      </c>
      <c r="B93" s="2" t="s">
        <v>212</v>
      </c>
      <c r="C93" s="2"/>
      <c r="D93" s="3">
        <v>60</v>
      </c>
      <c r="E93" s="2" t="s">
        <v>9</v>
      </c>
      <c r="F93" s="4"/>
    </row>
    <row r="94" spans="1:6" x14ac:dyDescent="0.3">
      <c r="A94" s="2" t="s">
        <v>82</v>
      </c>
      <c r="B94" s="2" t="s">
        <v>213</v>
      </c>
      <c r="C94" s="2"/>
      <c r="D94" s="3">
        <v>24</v>
      </c>
      <c r="E94" s="2" t="s">
        <v>9</v>
      </c>
      <c r="F94" s="4" t="s">
        <v>149</v>
      </c>
    </row>
    <row r="95" spans="1:6" x14ac:dyDescent="0.3">
      <c r="A95" s="2" t="s">
        <v>82</v>
      </c>
      <c r="B95" s="2" t="s">
        <v>214</v>
      </c>
      <c r="C95" s="2"/>
      <c r="D95" s="3">
        <v>55</v>
      </c>
      <c r="E95" s="2" t="s">
        <v>9</v>
      </c>
      <c r="F95" s="4"/>
    </row>
    <row r="96" spans="1:6" x14ac:dyDescent="0.3">
      <c r="A96" s="2" t="s">
        <v>82</v>
      </c>
      <c r="B96" s="2" t="s">
        <v>215</v>
      </c>
      <c r="C96" s="2"/>
      <c r="D96" s="3">
        <v>60</v>
      </c>
      <c r="E96" s="2" t="s">
        <v>9</v>
      </c>
      <c r="F96" s="4"/>
    </row>
    <row r="97" spans="1:6" x14ac:dyDescent="0.3">
      <c r="A97" s="2" t="s">
        <v>82</v>
      </c>
      <c r="B97" s="2" t="s">
        <v>216</v>
      </c>
      <c r="C97" s="2"/>
      <c r="D97" s="3">
        <v>200</v>
      </c>
      <c r="E97" s="2" t="s">
        <v>9</v>
      </c>
      <c r="F97" s="4"/>
    </row>
    <row r="98" spans="1:6" x14ac:dyDescent="0.3">
      <c r="A98" s="2" t="s">
        <v>82</v>
      </c>
      <c r="B98" s="2" t="s">
        <v>217</v>
      </c>
      <c r="C98" s="2"/>
      <c r="D98" s="3">
        <v>92</v>
      </c>
      <c r="E98" s="2" t="s">
        <v>9</v>
      </c>
      <c r="F98" s="4"/>
    </row>
    <row r="99" spans="1:6" x14ac:dyDescent="0.3">
      <c r="A99" s="2" t="s">
        <v>82</v>
      </c>
      <c r="B99" s="2" t="s">
        <v>218</v>
      </c>
      <c r="C99" s="2"/>
      <c r="D99" s="3">
        <v>144</v>
      </c>
      <c r="E99" s="2" t="s">
        <v>9</v>
      </c>
      <c r="F99" s="4"/>
    </row>
    <row r="100" spans="1:6" x14ac:dyDescent="0.3">
      <c r="A100" s="2" t="s">
        <v>82</v>
      </c>
      <c r="B100" s="2" t="s">
        <v>219</v>
      </c>
      <c r="C100" s="2"/>
      <c r="D100" s="3">
        <v>4</v>
      </c>
      <c r="E100" s="2" t="s">
        <v>9</v>
      </c>
      <c r="F100" s="4" t="s">
        <v>27</v>
      </c>
    </row>
    <row r="101" spans="1:6" x14ac:dyDescent="0.3">
      <c r="A101" s="2" t="s">
        <v>82</v>
      </c>
      <c r="B101" s="2" t="s">
        <v>150</v>
      </c>
      <c r="C101" s="2"/>
      <c r="D101" s="3">
        <v>56</v>
      </c>
      <c r="E101" s="2" t="s">
        <v>9</v>
      </c>
      <c r="F101" s="4"/>
    </row>
    <row r="102" spans="1:6" x14ac:dyDescent="0.3">
      <c r="A102" s="2" t="s">
        <v>82</v>
      </c>
      <c r="B102" s="2" t="s">
        <v>151</v>
      </c>
      <c r="C102" s="2"/>
      <c r="D102" s="3">
        <v>44</v>
      </c>
      <c r="E102" s="2" t="s">
        <v>9</v>
      </c>
      <c r="F102" s="4"/>
    </row>
    <row r="103" spans="1:6" x14ac:dyDescent="0.3">
      <c r="A103" s="2" t="s">
        <v>82</v>
      </c>
      <c r="B103" s="2" t="s">
        <v>152</v>
      </c>
      <c r="C103" s="2"/>
      <c r="D103" s="3">
        <v>96</v>
      </c>
      <c r="E103" s="2" t="s">
        <v>9</v>
      </c>
      <c r="F103" s="4"/>
    </row>
    <row r="104" spans="1:6" x14ac:dyDescent="0.3">
      <c r="A104" s="2" t="s">
        <v>82</v>
      </c>
      <c r="B104" s="2" t="s">
        <v>153</v>
      </c>
      <c r="C104" s="2"/>
      <c r="D104" s="3">
        <v>360</v>
      </c>
      <c r="E104" s="2" t="s">
        <v>9</v>
      </c>
      <c r="F104" s="4"/>
    </row>
    <row r="105" spans="1:6" x14ac:dyDescent="0.3">
      <c r="A105" s="2" t="s">
        <v>82</v>
      </c>
      <c r="B105" s="2" t="s">
        <v>154</v>
      </c>
      <c r="C105" s="2"/>
      <c r="D105" s="3">
        <v>720</v>
      </c>
      <c r="E105" s="2" t="s">
        <v>9</v>
      </c>
      <c r="F105" s="4"/>
    </row>
    <row r="106" spans="1:6" x14ac:dyDescent="0.3">
      <c r="A106" s="2" t="s">
        <v>82</v>
      </c>
      <c r="B106" s="2" t="s">
        <v>155</v>
      </c>
      <c r="C106" s="2"/>
      <c r="D106" s="3">
        <v>100</v>
      </c>
      <c r="E106" s="2" t="s">
        <v>9</v>
      </c>
      <c r="F106" s="4" t="s">
        <v>27</v>
      </c>
    </row>
    <row r="107" spans="1:6" x14ac:dyDescent="0.3">
      <c r="A107" s="2" t="s">
        <v>82</v>
      </c>
      <c r="B107" s="2" t="s">
        <v>156</v>
      </c>
      <c r="C107" s="2"/>
      <c r="D107" s="3">
        <v>100</v>
      </c>
      <c r="E107" s="2" t="s">
        <v>9</v>
      </c>
      <c r="F107" s="4"/>
    </row>
    <row r="108" spans="1:6" x14ac:dyDescent="0.3">
      <c r="A108" s="2" t="s">
        <v>82</v>
      </c>
      <c r="B108" s="2" t="s">
        <v>157</v>
      </c>
      <c r="C108" s="2"/>
      <c r="D108" s="3">
        <v>100</v>
      </c>
      <c r="E108" s="2" t="s">
        <v>9</v>
      </c>
      <c r="F108" s="4"/>
    </row>
    <row r="109" spans="1:6" x14ac:dyDescent="0.3">
      <c r="A109" s="2" t="s">
        <v>82</v>
      </c>
      <c r="B109" s="2" t="s">
        <v>158</v>
      </c>
      <c r="C109" s="2"/>
      <c r="D109" s="3">
        <v>28</v>
      </c>
      <c r="E109" s="2" t="s">
        <v>9</v>
      </c>
      <c r="F109" s="4"/>
    </row>
    <row r="110" spans="1:6" x14ac:dyDescent="0.3">
      <c r="A110" s="2" t="s">
        <v>159</v>
      </c>
      <c r="B110" s="2" t="s">
        <v>160</v>
      </c>
      <c r="C110" s="2" t="s">
        <v>161</v>
      </c>
      <c r="D110" s="3">
        <v>72</v>
      </c>
      <c r="E110" s="2" t="s">
        <v>9</v>
      </c>
      <c r="F110" s="4"/>
    </row>
    <row r="111" spans="1:6" x14ac:dyDescent="0.3">
      <c r="A111" s="2" t="s">
        <v>159</v>
      </c>
      <c r="B111" s="2" t="s">
        <v>162</v>
      </c>
      <c r="C111" s="2" t="s">
        <v>163</v>
      </c>
      <c r="D111" s="3">
        <v>84</v>
      </c>
      <c r="E111" s="2" t="s">
        <v>9</v>
      </c>
      <c r="F111" s="4"/>
    </row>
    <row r="112" spans="1:6" x14ac:dyDescent="0.3">
      <c r="A112" s="2" t="s">
        <v>159</v>
      </c>
      <c r="B112" s="2" t="s">
        <v>164</v>
      </c>
      <c r="C112" s="2" t="s">
        <v>165</v>
      </c>
      <c r="D112" s="3">
        <v>580</v>
      </c>
      <c r="E112" s="2" t="s">
        <v>9</v>
      </c>
      <c r="F112" s="4"/>
    </row>
    <row r="113" spans="1:6" x14ac:dyDescent="0.3">
      <c r="A113" s="2" t="s">
        <v>159</v>
      </c>
      <c r="B113" s="2" t="s">
        <v>166</v>
      </c>
      <c r="C113" s="2" t="s">
        <v>167</v>
      </c>
      <c r="D113" s="3">
        <v>100</v>
      </c>
      <c r="E113" s="2" t="s">
        <v>9</v>
      </c>
      <c r="F113" s="4"/>
    </row>
    <row r="114" spans="1:6" x14ac:dyDescent="0.3">
      <c r="A114" s="2" t="s">
        <v>159</v>
      </c>
      <c r="B114" s="2" t="s">
        <v>168</v>
      </c>
      <c r="C114" s="2" t="s">
        <v>81</v>
      </c>
      <c r="D114" s="3">
        <v>100</v>
      </c>
      <c r="E114" s="2" t="s">
        <v>9</v>
      </c>
      <c r="F114" s="4"/>
    </row>
    <row r="115" spans="1:6" x14ac:dyDescent="0.3">
      <c r="A115" s="2" t="s">
        <v>159</v>
      </c>
      <c r="B115" s="2" t="s">
        <v>169</v>
      </c>
      <c r="C115" s="2" t="s">
        <v>170</v>
      </c>
      <c r="D115" s="3">
        <v>360</v>
      </c>
      <c r="E115" s="2" t="s">
        <v>9</v>
      </c>
      <c r="F115" s="4"/>
    </row>
    <row r="116" spans="1:6" x14ac:dyDescent="0.3">
      <c r="A116" s="2" t="s">
        <v>159</v>
      </c>
      <c r="B116" s="2" t="s">
        <v>171</v>
      </c>
      <c r="C116" s="2" t="s">
        <v>172</v>
      </c>
      <c r="D116" s="3">
        <v>56</v>
      </c>
      <c r="E116" s="2" t="s">
        <v>173</v>
      </c>
      <c r="F116" s="4"/>
    </row>
    <row r="117" spans="1:6" x14ac:dyDescent="0.3">
      <c r="A117" s="2" t="s">
        <v>159</v>
      </c>
      <c r="B117" s="2" t="s">
        <v>174</v>
      </c>
      <c r="C117" s="2"/>
      <c r="D117" s="3">
        <v>100</v>
      </c>
      <c r="E117" s="2" t="s">
        <v>9</v>
      </c>
      <c r="F117" s="4"/>
    </row>
    <row r="118" spans="1:6" x14ac:dyDescent="0.3">
      <c r="A118" s="2" t="s">
        <v>159</v>
      </c>
      <c r="B118" s="2" t="s">
        <v>175</v>
      </c>
      <c r="C118" s="2" t="s">
        <v>176</v>
      </c>
      <c r="D118" s="3">
        <v>373</v>
      </c>
      <c r="E118" s="2" t="s">
        <v>9</v>
      </c>
      <c r="F118" s="4"/>
    </row>
    <row r="119" spans="1:6" x14ac:dyDescent="0.3">
      <c r="A119" s="2" t="s">
        <v>159</v>
      </c>
      <c r="B119" s="2" t="s">
        <v>177</v>
      </c>
      <c r="C119" s="2"/>
      <c r="D119" s="3">
        <v>24</v>
      </c>
      <c r="E119" s="2" t="s">
        <v>9</v>
      </c>
      <c r="F119" s="4"/>
    </row>
    <row r="120" spans="1:6" x14ac:dyDescent="0.3">
      <c r="A120" s="2" t="s">
        <v>159</v>
      </c>
      <c r="B120" s="2" t="s">
        <v>178</v>
      </c>
      <c r="C120" s="2"/>
      <c r="D120" s="3">
        <v>960</v>
      </c>
      <c r="E120" s="2" t="s">
        <v>9</v>
      </c>
      <c r="F120" s="4"/>
    </row>
    <row r="121" spans="1:6" x14ac:dyDescent="0.3">
      <c r="A121" s="2" t="s">
        <v>159</v>
      </c>
      <c r="B121" s="2" t="s">
        <v>179</v>
      </c>
      <c r="C121" s="2"/>
      <c r="D121" s="3">
        <v>230</v>
      </c>
      <c r="E121" s="2" t="s">
        <v>9</v>
      </c>
      <c r="F121" s="4"/>
    </row>
    <row r="122" spans="1:6" x14ac:dyDescent="0.3">
      <c r="A122" s="2" t="s">
        <v>159</v>
      </c>
      <c r="B122" s="2" t="s">
        <v>180</v>
      </c>
      <c r="C122" s="2"/>
      <c r="D122" s="3">
        <v>22</v>
      </c>
      <c r="E122" s="2" t="s">
        <v>9</v>
      </c>
      <c r="F122" s="4"/>
    </row>
    <row r="123" spans="1:6" x14ac:dyDescent="0.3">
      <c r="A123" s="2" t="s">
        <v>159</v>
      </c>
      <c r="B123" s="2" t="s">
        <v>181</v>
      </c>
      <c r="C123" s="2"/>
      <c r="D123" s="3">
        <v>24</v>
      </c>
      <c r="E123" s="2" t="s">
        <v>9</v>
      </c>
      <c r="F123" s="4"/>
    </row>
    <row r="124" spans="1:6" x14ac:dyDescent="0.3">
      <c r="A124" s="2" t="s">
        <v>159</v>
      </c>
      <c r="B124" s="2" t="s">
        <v>182</v>
      </c>
      <c r="C124" s="2"/>
      <c r="D124" s="3">
        <v>24</v>
      </c>
      <c r="E124" s="2" t="s">
        <v>9</v>
      </c>
      <c r="F124" s="4"/>
    </row>
    <row r="125" spans="1:6" x14ac:dyDescent="0.3">
      <c r="A125" s="2" t="s">
        <v>159</v>
      </c>
      <c r="B125" s="2" t="s">
        <v>183</v>
      </c>
      <c r="C125" s="2"/>
      <c r="D125" s="3">
        <v>3</v>
      </c>
      <c r="E125" s="2" t="s">
        <v>9</v>
      </c>
      <c r="F125" s="4"/>
    </row>
    <row r="126" spans="1:6" x14ac:dyDescent="0.3">
      <c r="A126" s="2" t="s">
        <v>159</v>
      </c>
      <c r="B126" s="2" t="s">
        <v>184</v>
      </c>
      <c r="C126" s="2"/>
      <c r="D126" s="3">
        <v>21</v>
      </c>
      <c r="E126" s="2" t="s">
        <v>9</v>
      </c>
      <c r="F126" s="4"/>
    </row>
    <row r="127" spans="1:6" x14ac:dyDescent="0.3">
      <c r="A127" s="2" t="s">
        <v>159</v>
      </c>
      <c r="B127" s="2" t="s">
        <v>185</v>
      </c>
      <c r="C127" s="2"/>
      <c r="D127" s="3">
        <v>24</v>
      </c>
      <c r="E127" s="2" t="s">
        <v>9</v>
      </c>
      <c r="F127" s="4"/>
    </row>
    <row r="128" spans="1:6" x14ac:dyDescent="0.3">
      <c r="A128" s="2" t="s">
        <v>159</v>
      </c>
      <c r="B128" s="2" t="s">
        <v>186</v>
      </c>
      <c r="C128" s="2"/>
      <c r="D128" s="3">
        <v>24</v>
      </c>
      <c r="E128" s="2" t="s">
        <v>9</v>
      </c>
      <c r="F128" s="4"/>
    </row>
    <row r="129" spans="1:6" x14ac:dyDescent="0.3">
      <c r="A129" s="2" t="s">
        <v>159</v>
      </c>
      <c r="B129" s="2" t="s">
        <v>187</v>
      </c>
      <c r="C129" s="2"/>
      <c r="D129" s="3">
        <v>24</v>
      </c>
      <c r="E129" s="2" t="s">
        <v>9</v>
      </c>
      <c r="F129" s="4"/>
    </row>
    <row r="130" spans="1:6" x14ac:dyDescent="0.3">
      <c r="A130" s="2" t="s">
        <v>159</v>
      </c>
      <c r="B130" s="2" t="s">
        <v>188</v>
      </c>
      <c r="C130" s="2"/>
      <c r="D130" s="3">
        <v>12</v>
      </c>
      <c r="E130" s="2" t="s">
        <v>9</v>
      </c>
      <c r="F130" s="4"/>
    </row>
    <row r="131" spans="1:6" x14ac:dyDescent="0.3">
      <c r="A131" s="2" t="s">
        <v>159</v>
      </c>
      <c r="B131" s="2" t="s">
        <v>189</v>
      </c>
      <c r="C131" s="2"/>
      <c r="D131" s="3">
        <v>10</v>
      </c>
      <c r="E131" s="2" t="s">
        <v>190</v>
      </c>
      <c r="F131" s="4"/>
    </row>
    <row r="132" spans="1:6" x14ac:dyDescent="0.3">
      <c r="A132" s="2" t="s">
        <v>191</v>
      </c>
      <c r="B132" s="2" t="s">
        <v>192</v>
      </c>
      <c r="C132" s="2" t="s">
        <v>193</v>
      </c>
      <c r="D132" s="3">
        <v>26</v>
      </c>
      <c r="E132" s="2" t="s">
        <v>22</v>
      </c>
      <c r="F132" s="4"/>
    </row>
    <row r="133" spans="1:6" x14ac:dyDescent="0.3">
      <c r="A133" s="2" t="s">
        <v>191</v>
      </c>
      <c r="B133" s="2" t="s">
        <v>194</v>
      </c>
      <c r="C133" s="2" t="s">
        <v>195</v>
      </c>
      <c r="D133" s="3">
        <v>40</v>
      </c>
      <c r="E133" s="2" t="s">
        <v>22</v>
      </c>
      <c r="F133" s="4"/>
    </row>
    <row r="134" spans="1:6" x14ac:dyDescent="0.3">
      <c r="A134" s="2" t="s">
        <v>191</v>
      </c>
      <c r="B134" s="2" t="s">
        <v>196</v>
      </c>
      <c r="C134" s="2"/>
      <c r="D134" s="3">
        <v>500</v>
      </c>
      <c r="E134" s="2" t="s">
        <v>9</v>
      </c>
      <c r="F134" s="4" t="s">
        <v>197</v>
      </c>
    </row>
    <row r="135" spans="1:6" x14ac:dyDescent="0.3">
      <c r="A135" s="2" t="s">
        <v>191</v>
      </c>
      <c r="B135" s="2" t="s">
        <v>198</v>
      </c>
      <c r="C135" s="2"/>
      <c r="D135" s="3">
        <v>930</v>
      </c>
      <c r="E135" s="2" t="s">
        <v>9</v>
      </c>
      <c r="F135" s="4"/>
    </row>
    <row r="136" spans="1:6" x14ac:dyDescent="0.3">
      <c r="A136" s="2" t="s">
        <v>191</v>
      </c>
      <c r="B136" s="2" t="s">
        <v>199</v>
      </c>
      <c r="C136" s="2" t="s">
        <v>200</v>
      </c>
      <c r="D136" s="3">
        <v>120</v>
      </c>
      <c r="E136" s="2" t="s">
        <v>9</v>
      </c>
      <c r="F136" s="4"/>
    </row>
    <row r="137" spans="1:6" x14ac:dyDescent="0.3">
      <c r="A137" s="2" t="s">
        <v>191</v>
      </c>
      <c r="B137" s="2" t="s">
        <v>201</v>
      </c>
      <c r="C137" s="2"/>
      <c r="D137" s="3">
        <v>30</v>
      </c>
      <c r="E137" s="2" t="s">
        <v>9</v>
      </c>
      <c r="F137" s="4" t="s">
        <v>108</v>
      </c>
    </row>
    <row r="138" spans="1:6" x14ac:dyDescent="0.3">
      <c r="A138" s="2" t="s">
        <v>191</v>
      </c>
      <c r="B138" s="2" t="s">
        <v>202</v>
      </c>
      <c r="C138" s="2"/>
      <c r="D138" s="3">
        <v>14</v>
      </c>
      <c r="E138" s="2" t="s">
        <v>9</v>
      </c>
      <c r="F138" s="4"/>
    </row>
    <row r="139" spans="1:6" x14ac:dyDescent="0.3">
      <c r="A139" s="2" t="s">
        <v>191</v>
      </c>
      <c r="B139" s="2" t="s">
        <v>203</v>
      </c>
      <c r="C139" s="2"/>
      <c r="D139" s="3">
        <v>5</v>
      </c>
      <c r="E139" s="2" t="s">
        <v>9</v>
      </c>
      <c r="F139" s="4"/>
    </row>
    <row r="140" spans="1:6" x14ac:dyDescent="0.3">
      <c r="A140" s="2" t="s">
        <v>191</v>
      </c>
      <c r="B140" s="2" t="s">
        <v>204</v>
      </c>
      <c r="C140" s="2"/>
      <c r="D140" s="3">
        <v>5</v>
      </c>
      <c r="E140" s="2" t="s">
        <v>9</v>
      </c>
      <c r="F140" s="4" t="s">
        <v>205</v>
      </c>
    </row>
    <row r="141" spans="1:6" x14ac:dyDescent="0.3">
      <c r="A141" s="2" t="s">
        <v>191</v>
      </c>
      <c r="B141" s="2" t="s">
        <v>206</v>
      </c>
      <c r="C141" s="2"/>
      <c r="D141" s="3">
        <v>9</v>
      </c>
      <c r="E141" s="2" t="s">
        <v>9</v>
      </c>
      <c r="F141" s="4"/>
    </row>
    <row r="142" spans="1:6" x14ac:dyDescent="0.3">
      <c r="A142" s="2" t="s">
        <v>191</v>
      </c>
      <c r="B142" s="2" t="s">
        <v>207</v>
      </c>
      <c r="C142" s="2"/>
      <c r="D142" s="3">
        <v>20</v>
      </c>
      <c r="E142" s="2" t="s">
        <v>9</v>
      </c>
      <c r="F142" s="4"/>
    </row>
    <row r="143" spans="1:6" x14ac:dyDescent="0.3">
      <c r="A143" s="2" t="s">
        <v>191</v>
      </c>
      <c r="B143" s="2" t="s">
        <v>208</v>
      </c>
      <c r="C143" s="2"/>
      <c r="D143" s="3">
        <v>200</v>
      </c>
      <c r="E143" s="2" t="s">
        <v>9</v>
      </c>
      <c r="F143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zoomScaleNormal="100" workbookViewId="0"/>
  </sheetViews>
  <sheetFormatPr baseColWidth="10" defaultColWidth="8.6640625" defaultRowHeight="14.4" x14ac:dyDescent="0.3"/>
  <cols>
    <col min="1" max="1" width="20" customWidth="1"/>
    <col min="2" max="2" width="22" customWidth="1"/>
    <col min="3" max="3" width="26" customWidth="1"/>
  </cols>
  <sheetData>
    <row r="1" spans="1:3" ht="30" customHeight="1" x14ac:dyDescent="0.3">
      <c r="A1" s="1" t="s">
        <v>0</v>
      </c>
      <c r="B1" s="1" t="s">
        <v>209</v>
      </c>
      <c r="C1" s="1" t="s">
        <v>210</v>
      </c>
    </row>
    <row r="2" spans="1:3" x14ac:dyDescent="0.3">
      <c r="A2" s="5" t="s">
        <v>6</v>
      </c>
      <c r="B2" s="3">
        <f>COUNTIF('Inventario General'!A2:A143,A2)</f>
        <v>37</v>
      </c>
      <c r="C2" s="3">
        <f>SUMIF('Inventario General'!A2:A143,A2,'Inventario General'!D2:D143)</f>
        <v>2057</v>
      </c>
    </row>
    <row r="3" spans="1:3" x14ac:dyDescent="0.3">
      <c r="A3" s="5" t="s">
        <v>82</v>
      </c>
      <c r="B3" s="3">
        <f>COUNTIF('Inventario General'!A2:A143,A3)</f>
        <v>71</v>
      </c>
      <c r="C3" s="3">
        <f>SUMIF('Inventario General'!A2:A143,A3,'Inventario General'!D2:D143)</f>
        <v>4745</v>
      </c>
    </row>
    <row r="4" spans="1:3" x14ac:dyDescent="0.3">
      <c r="A4" s="5" t="s">
        <v>159</v>
      </c>
      <c r="B4" s="3">
        <f>COUNTIF('Inventario General'!A2:A143,A4)</f>
        <v>22</v>
      </c>
      <c r="C4" s="3">
        <f>SUMIF('Inventario General'!A2:A143,A4,'Inventario General'!D2:D143)</f>
        <v>3227</v>
      </c>
    </row>
    <row r="5" spans="1:3" x14ac:dyDescent="0.3">
      <c r="A5" s="5" t="s">
        <v>191</v>
      </c>
      <c r="B5" s="3">
        <f>COUNTIF('Inventario General'!A2:A143,A5)</f>
        <v>12</v>
      </c>
      <c r="C5" s="3">
        <f>SUMIF('Inventario General'!A2:A143,A5,'Inventario General'!D2:D143)</f>
        <v>1899</v>
      </c>
    </row>
    <row r="6" spans="1:3" x14ac:dyDescent="0.3">
      <c r="A6" s="6" t="s">
        <v>211</v>
      </c>
      <c r="B6" s="6">
        <f>SUM(B2:B5)</f>
        <v>142</v>
      </c>
      <c r="C6" s="6">
        <f>SUM(C2:C5)</f>
        <v>11928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 General</vt:lpstr>
      <vt:lpstr>Resumen por Zona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alvaro santti</cp:lastModifiedBy>
  <cp:revision>0</cp:revision>
  <dcterms:created xsi:type="dcterms:W3CDTF">2026-07-26T03:28:07Z</dcterms:created>
  <dcterms:modified xsi:type="dcterms:W3CDTF">2026-07-26T04:48:15Z</dcterms:modified>
  <dc:language>en-US</dc:language>
</cp:coreProperties>
</file>